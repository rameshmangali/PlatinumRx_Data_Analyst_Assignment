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15" windowWidth="19815" windowHeight="7365"/>
  </bookViews>
  <sheets>
    <sheet name="ticket" sheetId="1" r:id="rId1"/>
    <sheet name="feedbacks" sheetId="2" r:id="rId2"/>
    <sheet name="Analysis" sheetId="3" r:id="rId3"/>
  </sheets>
  <calcPr calcId="144525"/>
</workbook>
</file>

<file path=xl/calcChain.xml><?xml version="1.0" encoding="utf-8"?>
<calcChain xmlns="http://schemas.openxmlformats.org/spreadsheetml/2006/main">
  <c r="F2" i="1" l="1"/>
  <c r="C2" i="3"/>
  <c r="B2" i="3"/>
  <c r="D4" i="2"/>
  <c r="D3" i="2"/>
  <c r="D2" i="2"/>
  <c r="F5" i="1"/>
  <c r="G5" i="1" s="1"/>
  <c r="F4" i="1"/>
  <c r="G4" i="1" s="1"/>
  <c r="F3" i="1"/>
  <c r="G3" i="1" s="1"/>
  <c r="C3" i="3" s="1"/>
  <c r="G2" i="1"/>
  <c r="B3" i="3" l="1"/>
</calcChain>
</file>

<file path=xl/sharedStrings.xml><?xml version="1.0" encoding="utf-8"?>
<sst xmlns="http://schemas.openxmlformats.org/spreadsheetml/2006/main" count="42" uniqueCount="36">
  <si>
    <t>ticket_id</t>
  </si>
  <si>
    <t>created_at</t>
  </si>
  <si>
    <t>closed_at</t>
  </si>
  <si>
    <t>outlet_id</t>
  </si>
  <si>
    <t>cms_id</t>
  </si>
  <si>
    <t>Same Day?</t>
  </si>
  <si>
    <t>Same Hour?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</si>
  <si>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</si>
  <si>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</si>
  <si>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</si>
  <si>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</si>
  <si>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</si>
  <si>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</si>
  <si>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</si>
  <si>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</si>
  <si>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</si>
  <si>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cms-test-01</t>
  </si>
  <si>
    <t>sam-ple-001</t>
  </si>
  <si>
    <t>2021-08-21 11:15:00</t>
  </si>
  <si>
    <t>2021-08-21 11:45:00</t>
  </si>
  <si>
    <t>cms-test-02</t>
  </si>
  <si>
    <t>sam-ple-002</t>
  </si>
  <si>
    <t>2021-08-22 09:00:00</t>
  </si>
  <si>
    <t>2021-08-22 20:00:00</t>
  </si>
  <si>
    <t>cms-test-03</t>
  </si>
  <si>
    <t>feedback_at</t>
  </si>
  <si>
    <t>feedback_rating</t>
  </si>
  <si>
    <t>ticket_created_at</t>
  </si>
  <si>
    <t>2021-08-21 13:26:48</t>
  </si>
  <si>
    <t>2021-08-22 10:00:00</t>
  </si>
  <si>
    <t>cms-test-missing</t>
  </si>
  <si>
    <t>2021-08-23 10:00:00</t>
  </si>
  <si>
    <t>Outlet ID</t>
  </si>
  <si>
    <t>Tickets Same Day</t>
  </si>
  <si>
    <t>Tickets Same Day &amp; Same Hour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</si>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</sst>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F2" sqref="F2"/>
    </sheetView>
  </sheetViews>
  <sheetFormatPr defaultRowHeight="15"/>
  <cols>
    <col min="1" max="1" width="13" customWidth="1"/>
    <col min="2" max="3" width="21" customWidth="1"/>
    <col min="4" max="4" width="14" customWidth="1"/>
    <col min="5" max="5" width="13" customWidth="1"/>
    <col min="6" max="6" width="28" customWidth="1"/>
    <col min="7" max="7" width="4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b">
        <f>LEFT(B2, 10)=LEFT(C2, 10)</f>
        <v>0</v>
      </c>
      <c r="G2" t="b">
        <f>AND(F2, MID(B2, 12, 2)=MID(C2, 12, 2))</f>
        <v>0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b">
        <f>LEFT(B3, 10)=LEFT(C3, 10)</f>
        <v>1</v>
      </c>
      <c r="G3" t="b">
        <f>AND(F3, MID(B3, 12, 2)=MID(C3, 12, 2))</f>
        <v>0</v>
      </c>
    </row>
    <row r="4" spans="1:7">
      <c r="A4" t="s">
        <v>17</v>
      </c>
      <c r="B4" t="s">
        <v>18</v>
      </c>
      <c r="C4" t="s">
        <v>19</v>
      </c>
      <c r="D4" t="s">
        <v>15</v>
      </c>
      <c r="E4" t="s">
        <v>20</v>
      </c>
      <c r="F4" t="b">
        <f>LEFT(B4, 10)=LEFT(C4, 10)</f>
        <v>1</v>
      </c>
      <c r="G4" t="b">
        <f>AND(F4, MID(B4, 12, 2)=MID(C4, 12, 2))</f>
        <v>1</v>
      </c>
    </row>
    <row r="5" spans="1:7">
      <c r="A5" t="s">
        <v>21</v>
      </c>
      <c r="B5" t="s">
        <v>22</v>
      </c>
      <c r="C5" t="s">
        <v>23</v>
      </c>
      <c r="D5" t="s">
        <v>10</v>
      </c>
      <c r="E5" t="s">
        <v>24</v>
      </c>
      <c r="F5" t="b">
        <f>LEFT(B5, 10)=LEFT(C5, 10)</f>
        <v>1</v>
      </c>
      <c r="G5" t="b">
        <f>AND(F5, MID(B5, 12, 2)=MID(C5, 12, 2))</f>
        <v>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"/>
  <cols>
    <col min="1" max="1" width="18" customWidth="1"/>
    <col min="2" max="2" width="21" customWidth="1"/>
    <col min="3" max="3" width="17" customWidth="1"/>
    <col min="4" max="4" width="68" customWidth="1"/>
  </cols>
  <sheetData>
    <row r="1" spans="1:4">
      <c r="A1" s="1" t="s">
        <v>35</v>
      </c>
      <c r="B1" s="1" t="s">
        <v>25</v>
      </c>
      <c r="C1" s="1" t="s">
        <v>26</v>
      </c>
      <c r="D1" s="1" t="s">
        <v>27</v>
      </c>
    </row>
    <row r="2" spans="1:4">
      <c r="A2" t="s">
        <v>11</v>
      </c>
      <c r="B2" t="s">
        <v>28</v>
      </c>
      <c r="C2">
        <v>3</v>
      </c>
      <c r="D2" t="str">
        <f>IFERROR(INDEX(ticket!B:B, MATCH(A2, ticket!E:E, 0)), "Not Found")</f>
        <v>2021-08-19 16:45:43</v>
      </c>
    </row>
    <row r="3" spans="1:4">
      <c r="A3" t="s">
        <v>16</v>
      </c>
      <c r="B3" t="s">
        <v>29</v>
      </c>
      <c r="C3">
        <v>4</v>
      </c>
      <c r="D3" t="str">
        <f>IFERROR(INDEX(ticket!B:B, MATCH(A3, ticket!E:E, 0)), "Not Found")</f>
        <v>2021-08-21 11:09:22</v>
      </c>
    </row>
    <row r="4" spans="1:4">
      <c r="A4" t="s">
        <v>30</v>
      </c>
      <c r="B4" t="s">
        <v>31</v>
      </c>
      <c r="C4">
        <v>5</v>
      </c>
      <c r="D4" t="str">
        <f>IFERROR(INDEX(ticket!B:B, MATCH(A4, ticket!E:E, 0)), "Not Found")</f>
        <v>Not Found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3" sqref="C3"/>
    </sheetView>
  </sheetViews>
  <sheetFormatPr defaultRowHeight="15"/>
  <cols>
    <col min="1" max="1" width="14" customWidth="1"/>
    <col min="2" max="3" width="45" customWidth="1"/>
  </cols>
  <sheetData>
    <row r="1" spans="1:3">
      <c r="A1" s="1" t="s">
        <v>32</v>
      </c>
      <c r="B1" s="1" t="s">
        <v>33</v>
      </c>
      <c r="C1" s="1" t="s">
        <v>34</v>
      </c>
    </row>
    <row r="2" spans="1:3">
      <c r="A2" t="s">
        <v>10</v>
      </c>
      <c r="B2">
        <f>COUNTIFS(ticket!D:D, A2, ticket!F:F, TRUE)</f>
        <v>1</v>
      </c>
      <c r="C2">
        <f>COUNTIFS(ticket!D:D, A2, ticket!G:G, TRUE)</f>
        <v>0</v>
      </c>
    </row>
    <row r="3" spans="1:3">
      <c r="A3" t="s">
        <v>15</v>
      </c>
      <c r="B3">
        <f>COUNTIFS(ticket!D:D, A3, ticket!F:F, TRUE)</f>
        <v>2</v>
      </c>
      <c r="C3">
        <f>COUNTIFS(ticket!D:D, A3, ticket!G:G, TRUE)</f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rambabu</cp:lastModifiedBy>
  <dcterms:created xsi:type="dcterms:W3CDTF">2026-04-09T07:04:24Z</dcterms:created>
  <dcterms:modified xsi:type="dcterms:W3CDTF">2026-04-09T08:26:09Z</dcterms:modified>
</cp:coreProperties>
</file>